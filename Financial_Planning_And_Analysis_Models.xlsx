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Bajaj\"/>
    </mc:Choice>
  </mc:AlternateContent>
  <xr:revisionPtr revIDLastSave="0" documentId="13_ncr:1_{C4116F93-C2FD-4D88-96D4-46E8A55DEA9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MF" sheetId="2" r:id="rId1"/>
    <sheet name="Peter" sheetId="3" r:id="rId2"/>
    <sheet name="Sheet1" sheetId="4" r:id="rId3"/>
  </sheets>
  <calcPr calcId="181029"/>
</workbook>
</file>

<file path=xl/calcChain.xml><?xml version="1.0" encoding="utf-8"?>
<calcChain xmlns="http://schemas.openxmlformats.org/spreadsheetml/2006/main">
  <c r="C41" i="4" l="1"/>
  <c r="C29" i="4"/>
  <c r="D20" i="4" s="1"/>
  <c r="D33" i="4"/>
  <c r="C53" i="4"/>
  <c r="D45" i="4" s="1"/>
</calcChain>
</file>

<file path=xl/sharedStrings.xml><?xml version="1.0" encoding="utf-8"?>
<sst xmlns="http://schemas.openxmlformats.org/spreadsheetml/2006/main" count="160" uniqueCount="111">
  <si>
    <t>Schemes for Large Cap Mutual Funds</t>
  </si>
  <si>
    <t>Name</t>
  </si>
  <si>
    <t>3yr return</t>
  </si>
  <si>
    <t>5yr return</t>
  </si>
  <si>
    <t>10 yr return</t>
  </si>
  <si>
    <t>My Ranking</t>
  </si>
  <si>
    <t>Schemes for Small Cap Fund</t>
  </si>
  <si>
    <t>Nippon India Large Cap Fund (Direct-Growth)</t>
  </si>
  <si>
    <t>AUM(in Cr)</t>
  </si>
  <si>
    <t>Expense Ratio</t>
  </si>
  <si>
    <t>ICICI Prudential Large Cap Fund (Direct-Growth)</t>
  </si>
  <si>
    <t>HDFC Large Cap Fund – Direct Plan (Growth Option)</t>
  </si>
  <si>
    <t>Quant Small Cap Fund – Direct Plan (Growth Option)</t>
  </si>
  <si>
    <t>HDFC Small Cap Fund – Direct Plan (Growth Option)</t>
  </si>
  <si>
    <t>Schemes for Mid Cap Fund</t>
  </si>
  <si>
    <t>HDFC Mid Cap Fund – Direct Plan (Growth Option)</t>
  </si>
  <si>
    <t>Kotak Midcap Fund – Direct Plan (Growth Option)</t>
  </si>
  <si>
    <t>Motilal Oswal Midcap Fund – Direct Plan (Growth Option)</t>
  </si>
  <si>
    <t>Schemes for ELSS</t>
  </si>
  <si>
    <t>SBI ELSS Tax Saver Fund – Direct Plan (Growth Option)</t>
  </si>
  <si>
    <t>Mirae Asset ELSS Tax Saver Fund – Direct Plan (Growth Option)</t>
  </si>
  <si>
    <t>1st</t>
  </si>
  <si>
    <t>2nd</t>
  </si>
  <si>
    <t>3rd</t>
  </si>
  <si>
    <t>HARSH MITTAL</t>
  </si>
  <si>
    <t>Axis ELSS Tax Saver Fund – Direct Plan (Growth Option)</t>
  </si>
  <si>
    <t>PETER</t>
  </si>
  <si>
    <t>Income</t>
  </si>
  <si>
    <t>Savings</t>
  </si>
  <si>
    <t>Goal</t>
  </si>
  <si>
    <t>PV (₹)</t>
  </si>
  <si>
    <t>Time Horizon</t>
  </si>
  <si>
    <t>Child's Education</t>
  </si>
  <si>
    <t>16 years (age 18)</t>
  </si>
  <si>
    <t>Child's Marriage</t>
  </si>
  <si>
    <t>House Purchase</t>
  </si>
  <si>
    <t>10 years</t>
  </si>
  <si>
    <t>25 years (age 27)</t>
  </si>
  <si>
    <t>SIP</t>
  </si>
  <si>
    <t>Insurance</t>
  </si>
  <si>
    <t>Already covered</t>
  </si>
  <si>
    <t>Investment Schemes</t>
  </si>
  <si>
    <t xml:space="preserve">Mid Cap Fund + Gold </t>
  </si>
  <si>
    <t>Kotak Midcap Fund – Direct Plan (Growth / )Motilal Oswal Midcap Fund – Direct Plan (Growth)</t>
  </si>
  <si>
    <t>Nippon India Large Cap Fund (Growth) / ICICI Prudential Large Cap Fund (Growth)</t>
  </si>
  <si>
    <t>Funds Name</t>
  </si>
  <si>
    <t>Gold</t>
  </si>
  <si>
    <t>Sovereign Gold Bonds (SGBs) / Gold ETFs</t>
  </si>
  <si>
    <t>Expenses (includes EMI)</t>
  </si>
  <si>
    <t>Large Cap Fund + Small Cap Fund</t>
  </si>
  <si>
    <t>Nippon India Small Cap Fund (Direct-Growth)</t>
  </si>
  <si>
    <t>Parameter</t>
  </si>
  <si>
    <t>Amount</t>
  </si>
  <si>
    <t>Debt Funds + Midcap Fund</t>
  </si>
  <si>
    <t>ICICI Prudential Corporate Bond Fund + HDFC Mid Cap Fund – Direct Plan (Growth)</t>
  </si>
  <si>
    <t>₹9000 (4000 + 5000)</t>
  </si>
  <si>
    <t>₹8000 (5000 + 3000)</t>
  </si>
  <si>
    <t>₹13000 (8000 + 5000)</t>
  </si>
  <si>
    <t>Nippon India / Quant Small Cap Fund (Growth)</t>
  </si>
  <si>
    <t>As per goal</t>
  </si>
  <si>
    <t>Financial Assessment report</t>
  </si>
  <si>
    <t>Risk Protection Planning</t>
  </si>
  <si>
    <t>Present coverage</t>
  </si>
  <si>
    <t>Recommended</t>
  </si>
  <si>
    <t>NA</t>
  </si>
  <si>
    <t>Targeted Amount required at age 16</t>
  </si>
  <si>
    <t>Note: The above recommendation are advised keeping in mind an Moderate Portfolio, however equity investments over 15 years can be considered generating excellent returns.</t>
  </si>
  <si>
    <t>Wishing you &amp; your Family members a bright &amp; prosperous Future Ahead !!</t>
  </si>
  <si>
    <t xml:space="preserve">    Education Planning for Kid</t>
  </si>
  <si>
    <t xml:space="preserve">16 years </t>
  </si>
  <si>
    <t>2 years</t>
  </si>
  <si>
    <t xml:space="preserve">Recommended Monthly SIP's </t>
  </si>
  <si>
    <t>Total Investments</t>
  </si>
  <si>
    <t>Estimated Corpous @Maturity</t>
  </si>
  <si>
    <t>Monthly SIP</t>
  </si>
  <si>
    <t xml:space="preserve">Targeted Amount </t>
  </si>
  <si>
    <t xml:space="preserve">   Marriage Planning </t>
  </si>
  <si>
    <t xml:space="preserve">    House Purchasing Planning</t>
  </si>
  <si>
    <r>
      <rPr>
        <b/>
        <u/>
        <sz val="9"/>
        <color rgb="FF000000"/>
        <rFont val="Aptos"/>
        <family val="2"/>
      </rPr>
      <t>Client</t>
    </r>
    <r>
      <rPr>
        <b/>
        <sz val="9"/>
        <color indexed="8"/>
        <rFont val="Aptos"/>
        <family val="2"/>
      </rPr>
      <t xml:space="preserve"> </t>
    </r>
    <r>
      <rPr>
        <b/>
        <u/>
        <sz val="9"/>
        <color rgb="FF000000"/>
        <rFont val="Aptos"/>
        <family val="2"/>
      </rPr>
      <t>name</t>
    </r>
  </si>
  <si>
    <r>
      <t>Time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frame</t>
    </r>
  </si>
  <si>
    <r>
      <t>Goals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to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achieve</t>
    </r>
  </si>
  <si>
    <r>
      <t>Health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Insurance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cover</t>
    </r>
  </si>
  <si>
    <r>
      <rPr>
        <u/>
        <sz val="9"/>
        <rFont val="Aptos"/>
        <family val="2"/>
      </rPr>
      <t>Term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Plan</t>
    </r>
  </si>
  <si>
    <r>
      <rPr>
        <u/>
        <sz val="9"/>
        <color rgb="FF000000"/>
        <rFont val="Aptos"/>
        <family val="2"/>
      </rPr>
      <t>Child's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Age</t>
    </r>
  </si>
  <si>
    <r>
      <rPr>
        <u/>
        <sz val="9"/>
        <color rgb="FF000000"/>
        <rFont val="Aptos"/>
        <family val="2"/>
      </rPr>
      <t>Time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Horizon</t>
    </r>
  </si>
  <si>
    <r>
      <rPr>
        <u/>
        <sz val="9"/>
        <color rgb="FF000000"/>
        <rFont val="Aptos"/>
        <family val="2"/>
      </rPr>
      <t>Present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 xml:space="preserve">Value </t>
    </r>
  </si>
  <si>
    <r>
      <rPr>
        <u/>
        <sz val="9"/>
        <rFont val="Aptos"/>
        <family val="2"/>
      </rPr>
      <t>HDFC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Mid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Cap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Fund</t>
    </r>
  </si>
  <si>
    <r>
      <rPr>
        <u/>
        <sz val="9"/>
        <color rgb="FF000000"/>
        <rFont val="Aptos"/>
        <family val="2"/>
      </rPr>
      <t>ICICI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Prudential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Corporate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Bond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Fund</t>
    </r>
  </si>
  <si>
    <r>
      <rPr>
        <u/>
        <sz val="9"/>
        <rFont val="Aptos"/>
        <family val="2"/>
      </rPr>
      <t>Kotak</t>
    </r>
    <r>
      <rPr>
        <sz val="9"/>
        <rFont val="Aptos"/>
        <family val="2"/>
      </rPr>
      <t xml:space="preserve"> / </t>
    </r>
    <r>
      <rPr>
        <u/>
        <sz val="9"/>
        <rFont val="Aptos"/>
        <family val="2"/>
      </rPr>
      <t>Motilal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Mid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Cap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Fund</t>
    </r>
  </si>
  <si>
    <r>
      <rPr>
        <u/>
        <sz val="9"/>
        <color rgb="FF000000"/>
        <rFont val="Aptos"/>
        <family val="2"/>
      </rPr>
      <t>Gold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ETF</t>
    </r>
    <r>
      <rPr>
        <sz val="9"/>
        <color rgb="FF000000"/>
        <rFont val="Aptos"/>
        <family val="2"/>
      </rPr>
      <t xml:space="preserve"> / </t>
    </r>
    <r>
      <rPr>
        <u/>
        <sz val="9"/>
        <color rgb="FF000000"/>
        <rFont val="Aptos"/>
        <family val="2"/>
      </rPr>
      <t>SGB</t>
    </r>
  </si>
  <si>
    <r>
      <rPr>
        <u/>
        <sz val="9"/>
        <rFont val="Aptos"/>
        <family val="2"/>
      </rPr>
      <t>Nippon</t>
    </r>
    <r>
      <rPr>
        <sz val="9"/>
        <rFont val="Aptos"/>
        <family val="2"/>
      </rPr>
      <t xml:space="preserve"> / </t>
    </r>
    <r>
      <rPr>
        <u/>
        <sz val="9"/>
        <rFont val="Aptos"/>
        <family val="2"/>
      </rPr>
      <t>ICICI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Large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Cap</t>
    </r>
    <r>
      <rPr>
        <sz val="9"/>
        <rFont val="Aptos"/>
        <family val="2"/>
      </rPr>
      <t xml:space="preserve"> </t>
    </r>
    <r>
      <rPr>
        <u/>
        <sz val="9"/>
        <rFont val="Aptos"/>
        <family val="2"/>
      </rPr>
      <t>Fund</t>
    </r>
  </si>
  <si>
    <r>
      <rPr>
        <u/>
        <sz val="9"/>
        <color rgb="FF000000"/>
        <rFont val="Aptos"/>
        <family val="2"/>
      </rPr>
      <t>Quant</t>
    </r>
    <r>
      <rPr>
        <sz val="9"/>
        <color rgb="FF000000"/>
        <rFont val="Aptos"/>
        <family val="2"/>
      </rPr>
      <t xml:space="preserve"> / </t>
    </r>
    <r>
      <rPr>
        <u/>
        <sz val="9"/>
        <color rgb="FF000000"/>
        <rFont val="Aptos"/>
        <family val="2"/>
      </rPr>
      <t>Nippon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Small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Cap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Fund</t>
    </r>
  </si>
  <si>
    <t xml:space="preserve">30 years </t>
  </si>
  <si>
    <r>
      <rPr>
        <u/>
        <sz val="9"/>
        <color rgb="FF000000"/>
        <rFont val="Aptos"/>
        <family val="2"/>
      </rPr>
      <t>Future</t>
    </r>
    <r>
      <rPr>
        <sz val="9"/>
        <color indexed="8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Value</t>
    </r>
    <r>
      <rPr>
        <sz val="9"/>
        <color indexed="8"/>
        <rFont val="Aptos"/>
        <family val="2"/>
      </rPr>
      <t xml:space="preserve"> (Inflation rate @ 8%)</t>
    </r>
  </si>
  <si>
    <r>
      <rPr>
        <u/>
        <sz val="9"/>
        <color rgb="FF000000"/>
        <rFont val="Aptos"/>
        <family val="2"/>
      </rPr>
      <t>Assumed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CAGR</t>
    </r>
    <r>
      <rPr>
        <sz val="9"/>
        <color rgb="FF000000"/>
        <rFont val="Aptos"/>
        <family val="2"/>
      </rPr>
      <t xml:space="preserve"> @ 18</t>
    </r>
    <r>
      <rPr>
        <u/>
        <sz val="9"/>
        <color rgb="FF000000"/>
        <rFont val="Aptos"/>
        <family val="2"/>
      </rPr>
      <t>%</t>
    </r>
  </si>
  <si>
    <t>Amount p.m (5 years | 5 years)</t>
  </si>
  <si>
    <t>5,000 | 6,000</t>
  </si>
  <si>
    <t>10,000 | 20,000</t>
  </si>
  <si>
    <t>15,000 | 26,000</t>
  </si>
  <si>
    <r>
      <rPr>
        <u/>
        <sz val="9"/>
        <color rgb="FF000000"/>
        <rFont val="Aptos"/>
        <family val="2"/>
      </rPr>
      <t>Assumed</t>
    </r>
    <r>
      <rPr>
        <sz val="9"/>
        <color rgb="FF000000"/>
        <rFont val="Aptos"/>
        <family val="2"/>
      </rPr>
      <t xml:space="preserve"> </t>
    </r>
    <r>
      <rPr>
        <u/>
        <sz val="9"/>
        <color rgb="FF000000"/>
        <rFont val="Aptos"/>
        <family val="2"/>
      </rPr>
      <t>CAGR</t>
    </r>
    <r>
      <rPr>
        <sz val="9"/>
        <color rgb="FF000000"/>
        <rFont val="Aptos"/>
        <family val="2"/>
      </rPr>
      <t xml:space="preserve"> @ </t>
    </r>
    <r>
      <rPr>
        <u/>
        <sz val="9"/>
        <color rgb="FF000000"/>
        <rFont val="Aptos"/>
        <family val="2"/>
      </rPr>
      <t>15%</t>
    </r>
  </si>
  <si>
    <t>Amount p.m (5 years | 5 years | 6 years)</t>
  </si>
  <si>
    <t>5,000 | 8,000 | 15,000</t>
  </si>
  <si>
    <t>2,000 | 2,000 | 9,000</t>
  </si>
  <si>
    <t>7,000 | 10,000 | 24,000</t>
  </si>
  <si>
    <t>Amount p.m (5 years | 5 years | 6 years | 14 years)</t>
  </si>
  <si>
    <t>8,000 | 4,000 | 16,000 | 40,000</t>
  </si>
  <si>
    <t>2,000 | 2,000 | 4,000 | 15,000</t>
  </si>
  <si>
    <t>6,000 | 2,000 | 12,000 | 25,000</t>
  </si>
  <si>
    <t>Assumed that after 5 years 10,000 will be deducted from EMI</t>
  </si>
  <si>
    <t xml:space="preserve">10 years </t>
  </si>
  <si>
    <t>PETER (Case Study)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</si>
</sst>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&quot;₹&quot;\ #,##0.00"/>
    <numFmt numFmtId="165" formatCode="&quot;₹&quot;\ #,##0"/>
    <numFmt numFmtId="166" formatCode="_ &quot;₹&quot;\ * #,##0_ ;_ &quot;₹&quot;\ * \-#,##0_ ;_ &quot;₹&quot;\ * &quot;-&quot;??_ ;_ @_ "/>
    <numFmt numFmtId="167" formatCode="_ [$₹-4009]\ * #,##0_ ;_ [$₹-4009]\ * \-#,##0_ ;_ [$₹-4009]\ * &quot;-&quot;??_ ;_ @_ 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26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u/>
      <sz val="22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9"/>
      <color indexed="8"/>
      <name val="Aptos"/>
      <family val="2"/>
    </font>
    <font>
      <b/>
      <u/>
      <sz val="9"/>
      <color rgb="FF000000"/>
      <name val="Aptos"/>
      <family val="2"/>
    </font>
    <font>
      <b/>
      <sz val="9"/>
      <color rgb="FFFF0000"/>
      <name val="Aptos"/>
      <family val="2"/>
    </font>
    <font>
      <sz val="9"/>
      <color theme="1"/>
      <name val="Aptos"/>
      <family val="2"/>
    </font>
    <font>
      <b/>
      <u/>
      <sz val="9"/>
      <color rgb="FFFF0000"/>
      <name val="Aptos"/>
      <family val="2"/>
    </font>
    <font>
      <sz val="9"/>
      <color indexed="8"/>
      <name val="Aptos"/>
      <family val="2"/>
    </font>
    <font>
      <u/>
      <sz val="9"/>
      <color rgb="FF000000"/>
      <name val="Aptos"/>
      <family val="2"/>
    </font>
    <font>
      <sz val="9"/>
      <color rgb="FF000000"/>
      <name val="Aptos"/>
      <family val="2"/>
    </font>
    <font>
      <b/>
      <sz val="9"/>
      <color theme="1" tint="4.9989318521683403E-2"/>
      <name val="Aptos"/>
      <family val="2"/>
    </font>
    <font>
      <u/>
      <sz val="9"/>
      <color indexed="8"/>
      <name val="Aptos"/>
      <family val="2"/>
    </font>
    <font>
      <sz val="9"/>
      <name val="Aptos"/>
      <family val="2"/>
    </font>
    <font>
      <u/>
      <sz val="9"/>
      <name val="Aptos"/>
      <family val="2"/>
    </font>
    <font>
      <b/>
      <sz val="9"/>
      <name val="Aptos"/>
      <family val="2"/>
    </font>
    <font>
      <b/>
      <sz val="9"/>
      <color rgb="FF000000"/>
      <name val="Aptos"/>
      <family val="2"/>
    </font>
    <font>
      <b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i/>
      <sz val="9"/>
      <color theme="1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9" tint="0.79998168889431442"/>
        <bgColor indexed="29"/>
      </patternFill>
    </fill>
    <fill>
      <patternFill patternType="solid">
        <fgColor theme="8" tint="0.59999389629810485"/>
        <bgColor indexed="2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40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44" fontId="17" fillId="0" borderId="0" applyFont="0" applyFill="0" applyBorder="0" applyAlignment="0" applyProtection="0"/>
  </cellStyleXfs>
  <cellXfs count="12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2" fontId="2" fillId="4" borderId="4" xfId="1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165" fontId="10" fillId="0" borderId="5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165" fontId="11" fillId="0" borderId="5" xfId="0" applyNumberFormat="1" applyFont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8" fillId="2" borderId="5" xfId="0" applyFont="1" applyFill="1" applyBorder="1" applyAlignment="1">
      <alignment horizontal="center" wrapText="1"/>
    </xf>
    <xf numFmtId="0" fontId="8" fillId="7" borderId="5" xfId="0" applyFont="1" applyFill="1" applyBorder="1" applyAlignment="1">
      <alignment horizontal="center" wrapText="1"/>
    </xf>
    <xf numFmtId="0" fontId="8" fillId="8" borderId="5" xfId="0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 wrapText="1"/>
    </xf>
    <xf numFmtId="0" fontId="7" fillId="8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8" fillId="0" borderId="13" xfId="2" applyFont="1" applyBorder="1" applyAlignment="1">
      <alignment horizontal="center" vertical="center"/>
    </xf>
    <xf numFmtId="0" fontId="20" fillId="11" borderId="13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3" fillId="0" borderId="0" xfId="2" applyFont="1" applyAlignment="1">
      <alignment horizontal="center" vertical="center" wrapText="1"/>
    </xf>
    <xf numFmtId="0" fontId="23" fillId="0" borderId="0" xfId="2" applyFont="1" applyAlignment="1">
      <alignment horizontal="center" vertical="center"/>
    </xf>
    <xf numFmtId="0" fontId="24" fillId="0" borderId="13" xfId="2" applyFont="1" applyBorder="1" applyAlignment="1">
      <alignment horizontal="center" vertical="center" wrapText="1"/>
    </xf>
    <xf numFmtId="0" fontId="23" fillId="0" borderId="13" xfId="2" applyFont="1" applyBorder="1" applyAlignment="1">
      <alignment horizontal="center" vertical="center" wrapText="1"/>
    </xf>
    <xf numFmtId="0" fontId="18" fillId="0" borderId="0" xfId="2" applyFont="1" applyAlignment="1">
      <alignment horizontal="center" vertical="center" wrapText="1"/>
    </xf>
    <xf numFmtId="0" fontId="24" fillId="12" borderId="13" xfId="2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7" fillId="12" borderId="0" xfId="2" applyFont="1" applyFill="1" applyAlignment="1">
      <alignment horizontal="center" vertical="center" wrapText="1"/>
    </xf>
    <xf numFmtId="0" fontId="23" fillId="12" borderId="0" xfId="2" applyFont="1" applyFill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3" fillId="12" borderId="13" xfId="2" applyFont="1" applyFill="1" applyBorder="1" applyAlignment="1">
      <alignment horizontal="center" vertical="center" wrapText="1"/>
    </xf>
    <xf numFmtId="0" fontId="28" fillId="12" borderId="13" xfId="0" applyFont="1" applyFill="1" applyBorder="1" applyAlignment="1">
      <alignment horizontal="center" vertical="center"/>
    </xf>
    <xf numFmtId="0" fontId="28" fillId="13" borderId="13" xfId="0" applyFont="1" applyFill="1" applyBorder="1" applyAlignment="1">
      <alignment horizontal="center" vertical="center"/>
    </xf>
    <xf numFmtId="0" fontId="29" fillId="12" borderId="13" xfId="0" applyFont="1" applyFill="1" applyBorder="1" applyAlignment="1">
      <alignment horizontal="center" vertical="center"/>
    </xf>
    <xf numFmtId="165" fontId="18" fillId="12" borderId="13" xfId="2" applyNumberFormat="1" applyFont="1" applyFill="1" applyBorder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0" fontId="23" fillId="12" borderId="0" xfId="2" applyFont="1" applyFill="1" applyAlignment="1">
      <alignment horizontal="center" vertical="center"/>
    </xf>
    <xf numFmtId="0" fontId="18" fillId="12" borderId="0" xfId="2" applyFont="1" applyFill="1" applyAlignment="1">
      <alignment horizontal="center" vertical="center" wrapText="1"/>
    </xf>
    <xf numFmtId="0" fontId="18" fillId="15" borderId="13" xfId="2" applyFont="1" applyFill="1" applyBorder="1" applyAlignment="1">
      <alignment horizontal="center" vertical="center" wrapText="1"/>
    </xf>
    <xf numFmtId="0" fontId="23" fillId="15" borderId="13" xfId="2" applyFont="1" applyFill="1" applyBorder="1" applyAlignment="1">
      <alignment horizontal="center" vertical="center"/>
    </xf>
    <xf numFmtId="0" fontId="18" fillId="15" borderId="13" xfId="2" applyFont="1" applyFill="1" applyBorder="1" applyAlignment="1">
      <alignment horizontal="center" vertical="center"/>
    </xf>
    <xf numFmtId="166" fontId="18" fillId="15" borderId="13" xfId="3" applyNumberFormat="1" applyFont="1" applyFill="1" applyBorder="1" applyAlignment="1">
      <alignment horizontal="center" vertical="center"/>
    </xf>
    <xf numFmtId="0" fontId="23" fillId="7" borderId="0" xfId="2" applyFont="1" applyFill="1" applyAlignment="1">
      <alignment horizontal="center" vertical="center"/>
    </xf>
    <xf numFmtId="0" fontId="28" fillId="15" borderId="13" xfId="0" applyFont="1" applyFill="1" applyBorder="1" applyAlignment="1">
      <alignment horizontal="center" vertical="center"/>
    </xf>
    <xf numFmtId="0" fontId="23" fillId="15" borderId="13" xfId="2" applyFont="1" applyFill="1" applyBorder="1" applyAlignment="1">
      <alignment horizontal="center" vertical="center" wrapText="1"/>
    </xf>
    <xf numFmtId="0" fontId="31" fillId="15" borderId="13" xfId="2" applyFont="1" applyFill="1" applyBorder="1" applyAlignment="1">
      <alignment horizontal="center" vertical="center" wrapText="1"/>
    </xf>
    <xf numFmtId="0" fontId="21" fillId="15" borderId="13" xfId="0" applyFont="1" applyFill="1" applyBorder="1" applyAlignment="1">
      <alignment horizontal="center" vertical="center"/>
    </xf>
    <xf numFmtId="0" fontId="25" fillId="15" borderId="13" xfId="2" applyFont="1" applyFill="1" applyBorder="1" applyAlignment="1">
      <alignment horizontal="center" vertical="center" wrapText="1"/>
    </xf>
    <xf numFmtId="0" fontId="31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66" fontId="18" fillId="15" borderId="13" xfId="3" applyNumberFormat="1" applyFont="1" applyFill="1" applyBorder="1" applyAlignment="1">
      <alignment horizontal="center" vertical="center" wrapText="1"/>
    </xf>
    <xf numFmtId="0" fontId="18" fillId="0" borderId="0" xfId="2" applyFont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32" fillId="9" borderId="5" xfId="0" applyFont="1" applyFill="1" applyBorder="1" applyAlignment="1">
      <alignment horizontal="center"/>
    </xf>
    <xf numFmtId="165" fontId="33" fillId="0" borderId="5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12" fillId="0" borderId="5" xfId="0" applyFont="1" applyBorder="1" applyAlignment="1">
      <alignment horizontal="center" wrapText="1"/>
    </xf>
    <xf numFmtId="0" fontId="18" fillId="0" borderId="0" xfId="2" applyFont="1" applyAlignment="1">
      <alignment horizontal="center" vertical="center"/>
    </xf>
    <xf numFmtId="0" fontId="23" fillId="7" borderId="12" xfId="2" applyFont="1" applyFill="1" applyBorder="1" applyAlignment="1">
      <alignment horizontal="center" vertical="center"/>
    </xf>
    <xf numFmtId="0" fontId="23" fillId="7" borderId="15" xfId="2" applyFont="1" applyFill="1" applyBorder="1" applyAlignment="1">
      <alignment horizontal="center" vertical="center"/>
    </xf>
    <xf numFmtId="0" fontId="23" fillId="7" borderId="16" xfId="2" applyFont="1" applyFill="1" applyBorder="1" applyAlignment="1">
      <alignment horizontal="center" vertical="center"/>
    </xf>
    <xf numFmtId="166" fontId="18" fillId="7" borderId="15" xfId="3" applyNumberFormat="1" applyFont="1" applyFill="1" applyBorder="1" applyAlignment="1">
      <alignment horizontal="center" vertical="center"/>
    </xf>
    <xf numFmtId="166" fontId="18" fillId="7" borderId="16" xfId="3" applyNumberFormat="1" applyFont="1" applyFill="1" applyBorder="1" applyAlignment="1">
      <alignment horizontal="center" vertical="center"/>
    </xf>
    <xf numFmtId="0" fontId="18" fillId="14" borderId="13" xfId="2" applyFont="1" applyFill="1" applyBorder="1" applyAlignment="1">
      <alignment horizontal="center" vertical="center" wrapText="1"/>
    </xf>
    <xf numFmtId="166" fontId="18" fillId="15" borderId="14" xfId="3" applyNumberFormat="1" applyFont="1" applyFill="1" applyBorder="1" applyAlignment="1">
      <alignment horizontal="center" vertical="center"/>
    </xf>
    <xf numFmtId="166" fontId="18" fillId="15" borderId="17" xfId="3" applyNumberFormat="1" applyFont="1" applyFill="1" applyBorder="1" applyAlignment="1">
      <alignment horizontal="center" vertical="center"/>
    </xf>
    <xf numFmtId="166" fontId="18" fillId="15" borderId="4" xfId="3" applyNumberFormat="1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6" fillId="16" borderId="18" xfId="0" applyFont="1" applyFill="1" applyBorder="1" applyAlignment="1">
      <alignment horizontal="center" vertical="center"/>
    </xf>
    <xf numFmtId="0" fontId="26" fillId="16" borderId="19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6" borderId="21" xfId="0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6" borderId="22" xfId="0" applyFont="1" applyFill="1" applyBorder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6" fillId="16" borderId="24" xfId="0" applyFont="1" applyFill="1" applyBorder="1" applyAlignment="1">
      <alignment horizontal="center" vertical="center"/>
    </xf>
    <xf numFmtId="0" fontId="26" fillId="16" borderId="25" xfId="0" applyFont="1" applyFill="1" applyBorder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7" fontId="18" fillId="15" borderId="13" xfId="2" applyNumberFormat="1" applyFont="1" applyFill="1" applyBorder="1" applyAlignment="1">
      <alignment horizontal="center" vertical="center" wrapText="1"/>
    </xf>
    <xf numFmtId="166" fontId="18" fillId="15" borderId="13" xfId="3" applyNumberFormat="1" applyFont="1" applyFill="1" applyBorder="1" applyAlignment="1">
      <alignment horizontal="center" vertical="center"/>
    </xf>
    <xf numFmtId="0" fontId="23" fillId="10" borderId="6" xfId="2" applyFont="1" applyFill="1" applyBorder="1" applyAlignment="1">
      <alignment horizontal="center" vertical="center" wrapText="1"/>
    </xf>
    <xf numFmtId="0" fontId="23" fillId="10" borderId="7" xfId="2" applyFont="1" applyFill="1" applyBorder="1" applyAlignment="1">
      <alignment horizontal="center" vertical="center" wrapText="1"/>
    </xf>
    <xf numFmtId="0" fontId="23" fillId="10" borderId="8" xfId="2" applyFont="1" applyFill="1" applyBorder="1" applyAlignment="1">
      <alignment horizontal="center" vertical="center" wrapText="1"/>
    </xf>
    <xf numFmtId="0" fontId="31" fillId="7" borderId="12" xfId="2" applyFont="1" applyFill="1" applyBorder="1" applyAlignment="1">
      <alignment horizontal="center" vertical="center" wrapText="1"/>
    </xf>
    <xf numFmtId="0" fontId="31" fillId="7" borderId="15" xfId="2" applyFont="1" applyFill="1" applyBorder="1" applyAlignment="1">
      <alignment horizontal="center" vertical="center" wrapText="1"/>
    </xf>
    <xf numFmtId="0" fontId="31" fillId="7" borderId="16" xfId="2" applyFont="1" applyFill="1" applyBorder="1" applyAlignment="1">
      <alignment horizontal="center" vertical="center" wrapText="1"/>
    </xf>
    <xf numFmtId="0" fontId="18" fillId="12" borderId="13" xfId="2" applyFont="1" applyFill="1" applyBorder="1" applyAlignment="1">
      <alignment horizontal="center" vertical="center" wrapText="1"/>
    </xf>
    <xf numFmtId="0" fontId="18" fillId="13" borderId="13" xfId="2" applyFont="1" applyFill="1" applyBorder="1" applyAlignment="1">
      <alignment horizontal="center" vertical="center"/>
    </xf>
  </cellXfs>
  <cellStyles count="4">
    <cellStyle name="Currency" xfId="3" builtinId="4"/>
    <cellStyle name="Excel Built-in Normal" xfId="2" xr:uid="{B453FBFB-1E77-4130-A6CA-8FB2D60E61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84121</xdr:colOff>
      <xdr:row>0</xdr:row>
      <xdr:rowOff>58514</xdr:rowOff>
    </xdr:from>
    <xdr:to>
      <xdr:col>1</xdr:col>
      <xdr:colOff>4343963</xdr:colOff>
      <xdr:row>1</xdr:row>
      <xdr:rowOff>394381</xdr:rowOff>
    </xdr:to>
    <xdr:pic>
      <xdr:nvPicPr>
        <xdr:cNvPr id="2" name="Picture 1" descr="BCL">
          <a:extLst>
            <a:ext uri="{FF2B5EF4-FFF2-40B4-BE49-F238E27FC236}">
              <a16:creationId xmlns:a16="http://schemas.microsoft.com/office/drawing/2014/main" id="{FA048B45-F825-78B3-4BC8-7ABC042FE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21" y="58514"/>
          <a:ext cx="4566003" cy="5708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BA2DB-0DF5-4497-AA0E-825979F7531E}">
  <dimension ref="A1:M45"/>
  <sheetViews>
    <sheetView zoomScale="83" zoomScaleNormal="74" workbookViewId="0">
      <selection activeCell="B21" sqref="B21"/>
    </sheetView>
  </sheetViews>
  <sheetFormatPr defaultRowHeight="18.75"/>
  <cols>
    <col min="1" max="1" width="4.7109375" style="1" customWidth="1"/>
    <col min="2" max="2" width="76.140625" style="1" bestFit="1" customWidth="1"/>
    <col min="3" max="3" width="16.28515625" style="1" bestFit="1" customWidth="1"/>
    <col min="4" max="5" width="14.42578125" style="1" bestFit="1" customWidth="1"/>
    <col min="6" max="6" width="16.5703125" style="1" bestFit="1" customWidth="1"/>
    <col min="7" max="7" width="20.140625" style="1" bestFit="1" customWidth="1"/>
    <col min="8" max="8" width="16.7109375" style="1" bestFit="1" customWidth="1"/>
    <col min="9" max="9" width="4.85546875" style="1" customWidth="1"/>
    <col min="10" max="16384" width="9.140625" style="1"/>
  </cols>
  <sheetData>
    <row r="1" spans="1:13" ht="19.5" thickBot="1"/>
    <row r="2" spans="1:13" ht="34.5" thickBot="1">
      <c r="C2" s="87" t="s">
        <v>24</v>
      </c>
      <c r="D2" s="88"/>
      <c r="E2" s="89"/>
    </row>
    <row r="3" spans="1:13">
      <c r="K3" s="19"/>
      <c r="L3" s="2" t="s">
        <v>21</v>
      </c>
    </row>
    <row r="4" spans="1:13">
      <c r="A4" s="3"/>
      <c r="B4" s="3"/>
      <c r="C4" s="3"/>
      <c r="D4" s="3"/>
      <c r="E4" s="3"/>
      <c r="F4" s="3"/>
      <c r="G4" s="3"/>
      <c r="H4" s="3"/>
      <c r="I4" s="3"/>
      <c r="K4" s="20"/>
      <c r="L4" s="2" t="s">
        <v>22</v>
      </c>
    </row>
    <row r="5" spans="1:13" ht="23.25">
      <c r="A5" s="3"/>
      <c r="B5" s="25" t="s">
        <v>0</v>
      </c>
      <c r="I5" s="3"/>
      <c r="K5" s="21"/>
      <c r="L5" s="2" t="s">
        <v>23</v>
      </c>
    </row>
    <row r="6" spans="1:13" ht="19.5" thickBot="1">
      <c r="A6" s="3"/>
      <c r="I6" s="3"/>
    </row>
    <row r="7" spans="1:13" ht="21.75" thickBot="1">
      <c r="A7" s="3"/>
      <c r="B7" s="22" t="s">
        <v>1</v>
      </c>
      <c r="C7" s="23" t="s">
        <v>8</v>
      </c>
      <c r="D7" s="23" t="s">
        <v>2</v>
      </c>
      <c r="E7" s="23" t="s">
        <v>3</v>
      </c>
      <c r="F7" s="23" t="s">
        <v>4</v>
      </c>
      <c r="G7" s="23" t="s">
        <v>9</v>
      </c>
      <c r="H7" s="24" t="s">
        <v>5</v>
      </c>
      <c r="I7" s="3"/>
    </row>
    <row r="8" spans="1:13">
      <c r="A8" s="3"/>
      <c r="B8" s="4" t="s">
        <v>7</v>
      </c>
      <c r="C8" s="26">
        <v>41750</v>
      </c>
      <c r="D8" s="18">
        <v>26.09</v>
      </c>
      <c r="E8" s="5">
        <v>27.68</v>
      </c>
      <c r="F8" s="6">
        <v>15.28</v>
      </c>
      <c r="G8" s="5">
        <v>0.67</v>
      </c>
      <c r="H8" s="7">
        <v>1</v>
      </c>
      <c r="I8" s="3"/>
    </row>
    <row r="9" spans="1:13">
      <c r="A9" s="3"/>
      <c r="B9" s="8" t="s">
        <v>10</v>
      </c>
      <c r="C9" s="27">
        <v>69763</v>
      </c>
      <c r="D9" s="9">
        <v>22.87</v>
      </c>
      <c r="E9" s="9">
        <v>23.89</v>
      </c>
      <c r="F9" s="10">
        <v>19.91</v>
      </c>
      <c r="G9" s="9">
        <v>1.42</v>
      </c>
      <c r="H9" s="11">
        <v>2</v>
      </c>
      <c r="I9" s="3"/>
    </row>
    <row r="10" spans="1:13">
      <c r="A10" s="3"/>
      <c r="B10" s="8" t="s">
        <v>11</v>
      </c>
      <c r="C10" s="27">
        <v>37716</v>
      </c>
      <c r="D10" s="12">
        <v>21.08</v>
      </c>
      <c r="E10" s="12">
        <v>18.37</v>
      </c>
      <c r="F10" s="9">
        <v>18.899999999999999</v>
      </c>
      <c r="G10" s="12">
        <v>1.61</v>
      </c>
      <c r="H10" s="13">
        <v>3</v>
      </c>
      <c r="I10" s="3"/>
    </row>
    <row r="11" spans="1:13">
      <c r="A11" s="3"/>
      <c r="I11" s="3"/>
    </row>
    <row r="12" spans="1:13">
      <c r="A12" s="3"/>
      <c r="B12" s="3"/>
      <c r="C12" s="3"/>
      <c r="D12" s="3"/>
      <c r="E12" s="3"/>
      <c r="F12" s="3"/>
      <c r="G12" s="3"/>
      <c r="H12" s="3"/>
      <c r="I12" s="3"/>
    </row>
    <row r="15" spans="1:13">
      <c r="A15" s="3"/>
      <c r="B15" s="3"/>
      <c r="C15" s="3"/>
      <c r="D15" s="3"/>
      <c r="E15" s="3"/>
      <c r="F15" s="3"/>
      <c r="G15" s="3"/>
      <c r="H15" s="3"/>
      <c r="I15" s="3"/>
    </row>
    <row r="16" spans="1:13" ht="23.25">
      <c r="A16" s="3"/>
      <c r="B16" s="25" t="s">
        <v>14</v>
      </c>
      <c r="I16" s="3"/>
      <c r="M16"/>
    </row>
    <row r="17" spans="1:9" ht="19.5" thickBot="1">
      <c r="A17" s="3"/>
      <c r="I17" s="3"/>
    </row>
    <row r="18" spans="1:9" ht="21.75" thickBot="1">
      <c r="A18" s="3"/>
      <c r="B18" s="22" t="s">
        <v>1</v>
      </c>
      <c r="C18" s="23" t="s">
        <v>8</v>
      </c>
      <c r="D18" s="23" t="s">
        <v>2</v>
      </c>
      <c r="E18" s="23" t="s">
        <v>3</v>
      </c>
      <c r="F18" s="23" t="s">
        <v>4</v>
      </c>
      <c r="G18" s="23" t="s">
        <v>9</v>
      </c>
      <c r="H18" s="24" t="s">
        <v>5</v>
      </c>
      <c r="I18" s="3"/>
    </row>
    <row r="19" spans="1:9">
      <c r="A19" s="3"/>
      <c r="B19" s="8" t="s">
        <v>16</v>
      </c>
      <c r="C19" s="27">
        <v>53464</v>
      </c>
      <c r="D19" s="12">
        <v>29.12</v>
      </c>
      <c r="E19" s="12">
        <v>32.54</v>
      </c>
      <c r="F19" s="10">
        <v>19.53</v>
      </c>
      <c r="G19" s="10">
        <v>0.42</v>
      </c>
      <c r="H19" s="16">
        <v>1</v>
      </c>
      <c r="I19" s="3"/>
    </row>
    <row r="20" spans="1:9">
      <c r="A20" s="3"/>
      <c r="B20" s="8" t="s">
        <v>17</v>
      </c>
      <c r="C20" s="27">
        <v>30401</v>
      </c>
      <c r="D20" s="10">
        <v>36.29</v>
      </c>
      <c r="E20" s="10">
        <v>38.15</v>
      </c>
      <c r="F20" s="9">
        <v>19.14</v>
      </c>
      <c r="G20" s="9">
        <v>0.68</v>
      </c>
      <c r="H20" s="11">
        <v>2</v>
      </c>
      <c r="I20" s="3"/>
    </row>
    <row r="21" spans="1:9">
      <c r="A21" s="3"/>
      <c r="B21" s="4" t="s">
        <v>15</v>
      </c>
      <c r="C21" s="26">
        <v>79718</v>
      </c>
      <c r="D21" s="14">
        <v>33.65</v>
      </c>
      <c r="E21" s="14">
        <v>33.659999999999997</v>
      </c>
      <c r="F21" s="6">
        <v>18.97</v>
      </c>
      <c r="G21" s="6">
        <v>0.77</v>
      </c>
      <c r="H21" s="15">
        <v>3</v>
      </c>
      <c r="I21" s="3"/>
    </row>
    <row r="22" spans="1:9">
      <c r="A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 ht="23.25">
      <c r="A27" s="3"/>
      <c r="B27" s="25" t="s">
        <v>6</v>
      </c>
      <c r="I27" s="3"/>
    </row>
    <row r="28" spans="1:9" ht="19.5" thickBot="1">
      <c r="A28" s="3"/>
      <c r="I28" s="3"/>
    </row>
    <row r="29" spans="1:9" ht="21.75" thickBot="1">
      <c r="A29" s="3"/>
      <c r="B29" s="22" t="s">
        <v>1</v>
      </c>
      <c r="C29" s="23" t="s">
        <v>8</v>
      </c>
      <c r="D29" s="23" t="s">
        <v>2</v>
      </c>
      <c r="E29" s="23" t="s">
        <v>3</v>
      </c>
      <c r="F29" s="23" t="s">
        <v>4</v>
      </c>
      <c r="G29" s="23" t="s">
        <v>9</v>
      </c>
      <c r="H29" s="24" t="s">
        <v>5</v>
      </c>
      <c r="I29" s="3"/>
    </row>
    <row r="30" spans="1:9">
      <c r="A30" s="3"/>
      <c r="B30" s="4" t="s">
        <v>50</v>
      </c>
      <c r="C30" s="28">
        <v>63006.73</v>
      </c>
      <c r="D30" s="14">
        <v>31.24</v>
      </c>
      <c r="E30" s="14">
        <v>38.76</v>
      </c>
      <c r="F30" s="5">
        <v>25.75</v>
      </c>
      <c r="G30" s="5">
        <v>0.64</v>
      </c>
      <c r="H30" s="7">
        <v>1</v>
      </c>
      <c r="I30" s="3"/>
    </row>
    <row r="31" spans="1:9">
      <c r="A31" s="3"/>
      <c r="B31" s="8" t="s">
        <v>12</v>
      </c>
      <c r="C31" s="29">
        <v>28205.21</v>
      </c>
      <c r="D31" s="10">
        <v>33.14</v>
      </c>
      <c r="E31" s="10">
        <v>46.05</v>
      </c>
      <c r="F31" s="9">
        <v>20.8</v>
      </c>
      <c r="G31" s="9">
        <v>0.66</v>
      </c>
      <c r="H31" s="11">
        <v>2</v>
      </c>
      <c r="I31" s="3"/>
    </row>
    <row r="32" spans="1:9">
      <c r="A32" s="3"/>
      <c r="B32" s="8" t="s">
        <v>13</v>
      </c>
      <c r="C32" s="29">
        <v>34032.089999999997</v>
      </c>
      <c r="D32" s="12">
        <v>30.34</v>
      </c>
      <c r="E32" s="12">
        <v>35.46</v>
      </c>
      <c r="F32" s="12">
        <v>19.98</v>
      </c>
      <c r="G32" s="12">
        <v>0.73</v>
      </c>
      <c r="H32" s="13">
        <v>3</v>
      </c>
      <c r="I32" s="3"/>
    </row>
    <row r="33" spans="1:9">
      <c r="A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 ht="23.25">
      <c r="A38" s="3"/>
      <c r="B38" s="25" t="s">
        <v>18</v>
      </c>
      <c r="I38" s="3"/>
    </row>
    <row r="39" spans="1:9" ht="19.5" thickBot="1">
      <c r="A39" s="3"/>
      <c r="I39" s="3"/>
    </row>
    <row r="40" spans="1:9" ht="21.75" thickBot="1">
      <c r="A40" s="3"/>
      <c r="B40" s="22" t="s">
        <v>1</v>
      </c>
      <c r="C40" s="23" t="s">
        <v>8</v>
      </c>
      <c r="D40" s="23" t="s">
        <v>2</v>
      </c>
      <c r="E40" s="23" t="s">
        <v>3</v>
      </c>
      <c r="F40" s="23" t="s">
        <v>4</v>
      </c>
      <c r="G40" s="23" t="s">
        <v>9</v>
      </c>
      <c r="H40" s="24" t="s">
        <v>5</v>
      </c>
      <c r="I40" s="3"/>
    </row>
    <row r="41" spans="1:9">
      <c r="A41" s="3"/>
      <c r="B41" s="8" t="s">
        <v>20</v>
      </c>
      <c r="C41" s="29">
        <v>25567.42</v>
      </c>
      <c r="D41" s="9">
        <v>22.23</v>
      </c>
      <c r="E41" s="9">
        <v>25.42</v>
      </c>
      <c r="F41" s="10">
        <v>19.86</v>
      </c>
      <c r="G41" s="10">
        <v>0.57999999999999996</v>
      </c>
      <c r="H41" s="16">
        <v>1</v>
      </c>
      <c r="I41" s="3"/>
    </row>
    <row r="42" spans="1:9">
      <c r="A42" s="3"/>
      <c r="B42" s="4" t="s">
        <v>19</v>
      </c>
      <c r="C42" s="28">
        <v>29667.41</v>
      </c>
      <c r="D42" s="5">
        <v>30.65</v>
      </c>
      <c r="E42" s="5">
        <v>29.03</v>
      </c>
      <c r="F42" s="14">
        <v>16.96</v>
      </c>
      <c r="G42" s="6">
        <v>0.93</v>
      </c>
      <c r="H42" s="17">
        <v>2</v>
      </c>
      <c r="I42" s="3"/>
    </row>
    <row r="43" spans="1:9">
      <c r="A43" s="3"/>
      <c r="B43" s="8" t="s">
        <v>25</v>
      </c>
      <c r="C43" s="29">
        <v>35358.19</v>
      </c>
      <c r="D43" s="12">
        <v>19.170000000000002</v>
      </c>
      <c r="E43" s="12">
        <v>18.71</v>
      </c>
      <c r="F43" s="12">
        <v>13.42</v>
      </c>
      <c r="G43" s="9">
        <v>0.8</v>
      </c>
      <c r="H43" s="13">
        <v>3</v>
      </c>
      <c r="I43" s="3"/>
    </row>
    <row r="44" spans="1:9">
      <c r="A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</sheetData>
  <mergeCells count="1">
    <mergeCell ref="C2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7D27-F909-473F-942C-3AE220A738BC}">
  <dimension ref="A1:L20"/>
  <sheetViews>
    <sheetView tabSelected="1" zoomScale="90" workbookViewId="0">
      <selection activeCell="C3" sqref="C3"/>
    </sheetView>
  </sheetViews>
  <sheetFormatPr defaultRowHeight="15.75"/>
  <cols>
    <col min="1" max="1" width="24.7109375" style="30" bestFit="1" customWidth="1"/>
    <col min="2" max="2" width="22" style="30" bestFit="1" customWidth="1"/>
    <col min="3" max="3" width="34.140625" style="30" bestFit="1" customWidth="1"/>
    <col min="4" max="4" width="11" style="30" bestFit="1" customWidth="1"/>
    <col min="5" max="5" width="12.7109375" style="30" bestFit="1" customWidth="1"/>
    <col min="6" max="6" width="23.28515625" style="30" customWidth="1"/>
    <col min="7" max="10" width="9.140625" style="30"/>
    <col min="11" max="11" width="14.140625" style="30" customWidth="1"/>
    <col min="12" max="12" width="42" style="30" bestFit="1" customWidth="1"/>
    <col min="13" max="16384" width="9.140625" style="30"/>
  </cols>
  <sheetData>
    <row r="1" spans="1:12" ht="28.5">
      <c r="A1" s="95" t="s">
        <v>110</v>
      </c>
      <c r="B1" s="95"/>
    </row>
    <row r="2" spans="1:12" ht="26.25">
      <c r="A2" s="44"/>
    </row>
    <row r="3" spans="1:12">
      <c r="A3" s="45" t="s">
        <v>51</v>
      </c>
      <c r="B3" s="45" t="s">
        <v>52</v>
      </c>
    </row>
    <row r="4" spans="1:12" ht="24" customHeight="1">
      <c r="A4" s="31" t="s">
        <v>27</v>
      </c>
      <c r="B4" s="32">
        <v>100000</v>
      </c>
      <c r="D4" s="40" t="s">
        <v>29</v>
      </c>
      <c r="E4" s="40" t="s">
        <v>30</v>
      </c>
      <c r="F4" s="40" t="s">
        <v>31</v>
      </c>
    </row>
    <row r="5" spans="1:12" ht="31.5">
      <c r="A5" s="31" t="s">
        <v>48</v>
      </c>
      <c r="B5" s="32">
        <v>70000</v>
      </c>
      <c r="D5" s="33" t="s">
        <v>32</v>
      </c>
      <c r="E5" s="34">
        <v>2000000</v>
      </c>
      <c r="F5" s="33" t="s">
        <v>33</v>
      </c>
    </row>
    <row r="6" spans="1:12" ht="31.5">
      <c r="A6" s="31" t="s">
        <v>28</v>
      </c>
      <c r="B6" s="32">
        <v>30000</v>
      </c>
      <c r="D6" s="33" t="s">
        <v>34</v>
      </c>
      <c r="E6" s="34">
        <v>2000000</v>
      </c>
      <c r="F6" s="33" t="s">
        <v>37</v>
      </c>
    </row>
    <row r="7" spans="1:12" ht="31.5">
      <c r="D7" s="33" t="s">
        <v>35</v>
      </c>
      <c r="E7" s="34">
        <v>7000000</v>
      </c>
      <c r="F7" s="33" t="s">
        <v>36</v>
      </c>
    </row>
    <row r="10" spans="1:12">
      <c r="A10" s="43"/>
      <c r="B10" s="41" t="s">
        <v>38</v>
      </c>
      <c r="C10" s="41" t="s">
        <v>41</v>
      </c>
      <c r="D10" s="90" t="s">
        <v>45</v>
      </c>
      <c r="E10" s="90"/>
      <c r="F10" s="90"/>
      <c r="G10" s="90"/>
      <c r="H10" s="90"/>
      <c r="I10" s="90"/>
      <c r="J10" s="90"/>
      <c r="K10" s="90"/>
      <c r="L10" s="41" t="s">
        <v>46</v>
      </c>
    </row>
    <row r="11" spans="1:12" ht="21" customHeight="1">
      <c r="A11" s="42" t="s">
        <v>32</v>
      </c>
      <c r="B11" s="37" t="s">
        <v>55</v>
      </c>
      <c r="C11" s="36" t="s">
        <v>53</v>
      </c>
      <c r="D11" s="96" t="s">
        <v>54</v>
      </c>
      <c r="E11" s="91"/>
      <c r="F11" s="91"/>
      <c r="G11" s="91"/>
      <c r="H11" s="91"/>
      <c r="I11" s="91"/>
      <c r="J11" s="91"/>
      <c r="K11" s="91"/>
      <c r="L11" s="35"/>
    </row>
    <row r="12" spans="1:12" ht="20.25" customHeight="1">
      <c r="A12" s="42" t="s">
        <v>34</v>
      </c>
      <c r="B12" s="37" t="s">
        <v>56</v>
      </c>
      <c r="C12" s="36" t="s">
        <v>42</v>
      </c>
      <c r="D12" s="91" t="s">
        <v>43</v>
      </c>
      <c r="E12" s="91"/>
      <c r="F12" s="91"/>
      <c r="G12" s="91"/>
      <c r="H12" s="91"/>
      <c r="I12" s="91"/>
      <c r="J12" s="91"/>
      <c r="K12" s="91"/>
      <c r="L12" s="39" t="s">
        <v>47</v>
      </c>
    </row>
    <row r="13" spans="1:12" ht="21" customHeight="1">
      <c r="A13" s="42" t="s">
        <v>35</v>
      </c>
      <c r="B13" s="37" t="s">
        <v>57</v>
      </c>
      <c r="C13" s="36" t="s">
        <v>49</v>
      </c>
      <c r="D13" s="91" t="s">
        <v>44</v>
      </c>
      <c r="E13" s="91"/>
      <c r="F13" s="91"/>
      <c r="G13" s="91"/>
      <c r="H13" s="91"/>
      <c r="I13" s="91"/>
      <c r="J13" s="91"/>
      <c r="K13" s="91"/>
      <c r="L13" s="35"/>
    </row>
    <row r="14" spans="1:12">
      <c r="A14" s="42"/>
      <c r="B14" s="37"/>
      <c r="C14" s="35"/>
      <c r="D14" s="91" t="s">
        <v>58</v>
      </c>
      <c r="E14" s="91"/>
      <c r="F14" s="91"/>
      <c r="G14" s="91"/>
      <c r="H14" s="91"/>
      <c r="I14" s="91"/>
      <c r="J14" s="91"/>
      <c r="K14" s="91"/>
      <c r="L14" s="35"/>
    </row>
    <row r="15" spans="1:12" ht="21" customHeight="1">
      <c r="A15" s="41" t="s">
        <v>39</v>
      </c>
      <c r="B15" s="38" t="s">
        <v>40</v>
      </c>
      <c r="C15" s="35"/>
      <c r="D15" s="92"/>
      <c r="E15" s="93"/>
      <c r="F15" s="93"/>
      <c r="G15" s="93"/>
      <c r="H15" s="93"/>
      <c r="I15" s="93"/>
      <c r="J15" s="93"/>
      <c r="K15" s="94"/>
      <c r="L15" s="35"/>
    </row>
    <row r="20" spans="6:6">
      <c r="F20" s="46"/>
    </row>
  </sheetData>
  <mergeCells count="7">
    <mergeCell ref="D10:K10"/>
    <mergeCell ref="D14:K14"/>
    <mergeCell ref="D15:K15"/>
    <mergeCell ref="A1:B1"/>
    <mergeCell ref="D12:K12"/>
    <mergeCell ref="D11:K11"/>
    <mergeCell ref="D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284D-4AF0-41C1-A96D-EBC3848B133C}">
  <dimension ref="A1:E59"/>
  <sheetViews>
    <sheetView showGridLines="0" topLeftCell="B1" zoomScale="133" workbookViewId="0">
      <selection activeCell="E30" sqref="E30"/>
    </sheetView>
  </sheetViews>
  <sheetFormatPr defaultRowHeight="12"/>
  <cols>
    <col min="1" max="1" width="36" style="49" bestFit="1" customWidth="1"/>
    <col min="2" max="2" width="39.28515625" style="49" bestFit="1" customWidth="1"/>
    <col min="3" max="3" width="17.5703125" style="49" bestFit="1" customWidth="1"/>
    <col min="4" max="4" width="37.28515625" style="49" bestFit="1" customWidth="1"/>
    <col min="5" max="5" width="28" style="49" bestFit="1" customWidth="1"/>
    <col min="6" max="16384" width="9.140625" style="49"/>
  </cols>
  <sheetData>
    <row r="1" spans="1:5" ht="15" customHeight="1">
      <c r="A1" s="47" t="s">
        <v>78</v>
      </c>
      <c r="B1" s="48" t="s">
        <v>26</v>
      </c>
      <c r="D1" s="50"/>
      <c r="E1" s="51"/>
    </row>
    <row r="2" spans="1:5" ht="15" customHeight="1">
      <c r="A2" s="83"/>
      <c r="B2" s="84"/>
      <c r="D2" s="50"/>
      <c r="E2" s="51"/>
    </row>
    <row r="3" spans="1:5" ht="15" customHeight="1">
      <c r="A3" s="85" t="s">
        <v>51</v>
      </c>
      <c r="B3" s="85" t="s">
        <v>52</v>
      </c>
      <c r="D3" s="50"/>
      <c r="E3" s="51"/>
    </row>
    <row r="4" spans="1:5" ht="15" customHeight="1">
      <c r="A4" s="53" t="s">
        <v>27</v>
      </c>
      <c r="B4" s="86">
        <v>100000</v>
      </c>
      <c r="D4" s="50"/>
      <c r="E4" s="51"/>
    </row>
    <row r="5" spans="1:5" ht="15" customHeight="1">
      <c r="A5" s="53" t="s">
        <v>48</v>
      </c>
      <c r="B5" s="86">
        <v>70000</v>
      </c>
      <c r="C5" s="107" t="s">
        <v>108</v>
      </c>
      <c r="D5" s="108"/>
      <c r="E5" s="51"/>
    </row>
    <row r="6" spans="1:5" ht="15" customHeight="1">
      <c r="A6" s="53" t="s">
        <v>28</v>
      </c>
      <c r="B6" s="86">
        <v>30000</v>
      </c>
      <c r="D6" s="50"/>
      <c r="E6" s="51"/>
    </row>
    <row r="7" spans="1:5">
      <c r="A7" s="52"/>
      <c r="B7" s="52"/>
      <c r="C7" s="51"/>
      <c r="D7" s="51"/>
      <c r="E7" s="51"/>
    </row>
    <row r="8" spans="1:5" ht="15" customHeight="1">
      <c r="A8" s="53" t="s">
        <v>79</v>
      </c>
      <c r="B8" s="54" t="s">
        <v>59</v>
      </c>
      <c r="D8" s="51"/>
      <c r="E8" s="51"/>
    </row>
    <row r="9" spans="1:5">
      <c r="A9" s="55"/>
      <c r="B9" s="51"/>
      <c r="D9" s="51"/>
      <c r="E9" s="51"/>
    </row>
    <row r="10" spans="1:5" ht="20.100000000000001" customHeight="1">
      <c r="A10" s="56" t="s">
        <v>80</v>
      </c>
      <c r="B10" s="57" t="s">
        <v>32</v>
      </c>
      <c r="C10" s="57" t="s">
        <v>34</v>
      </c>
      <c r="D10" s="57" t="s">
        <v>35</v>
      </c>
    </row>
    <row r="11" spans="1:5">
      <c r="A11" s="58"/>
      <c r="B11" s="59"/>
      <c r="C11" s="60"/>
      <c r="D11" s="60"/>
      <c r="E11" s="60"/>
    </row>
    <row r="12" spans="1:5" ht="15" customHeight="1">
      <c r="B12" s="61"/>
      <c r="C12" s="127" t="s">
        <v>60</v>
      </c>
      <c r="D12" s="127"/>
    </row>
    <row r="13" spans="1:5" ht="15" customHeight="1">
      <c r="B13" s="62"/>
      <c r="C13" s="128" t="s">
        <v>61</v>
      </c>
      <c r="D13" s="128"/>
    </row>
    <row r="14" spans="1:5" ht="15" customHeight="1">
      <c r="B14" s="62"/>
      <c r="C14" s="63" t="s">
        <v>62</v>
      </c>
      <c r="D14" s="63" t="s">
        <v>63</v>
      </c>
    </row>
    <row r="15" spans="1:5" ht="15" customHeight="1">
      <c r="B15" s="64" t="s">
        <v>81</v>
      </c>
      <c r="C15" s="65">
        <v>300000</v>
      </c>
      <c r="D15" s="62" t="s">
        <v>64</v>
      </c>
    </row>
    <row r="16" spans="1:5" ht="15" customHeight="1">
      <c r="B16" s="62" t="s">
        <v>82</v>
      </c>
      <c r="C16" s="65">
        <v>5000000</v>
      </c>
      <c r="D16" s="62" t="s">
        <v>64</v>
      </c>
    </row>
    <row r="17" spans="1:5">
      <c r="A17" s="66"/>
      <c r="B17" s="67"/>
      <c r="C17" s="59"/>
      <c r="D17" s="59"/>
      <c r="E17" s="68"/>
    </row>
    <row r="18" spans="1:5">
      <c r="A18" s="66"/>
      <c r="B18" s="67"/>
      <c r="C18" s="59"/>
      <c r="D18" s="59"/>
      <c r="E18" s="68"/>
    </row>
    <row r="19" spans="1:5" ht="15" customHeight="1">
      <c r="A19" s="103" t="s">
        <v>68</v>
      </c>
      <c r="B19" s="103"/>
      <c r="C19" s="69"/>
      <c r="D19" s="69" t="s">
        <v>65</v>
      </c>
    </row>
    <row r="20" spans="1:5" ht="15" customHeight="1">
      <c r="A20" s="70" t="s">
        <v>83</v>
      </c>
      <c r="B20" s="70"/>
      <c r="C20" s="71" t="s">
        <v>70</v>
      </c>
      <c r="D20" s="120">
        <f>D26-C29</f>
        <v>4152000</v>
      </c>
    </row>
    <row r="21" spans="1:5" ht="15" customHeight="1">
      <c r="A21" s="70" t="s">
        <v>84</v>
      </c>
      <c r="B21" s="70"/>
      <c r="C21" s="71" t="s">
        <v>69</v>
      </c>
      <c r="D21" s="120"/>
    </row>
    <row r="22" spans="1:5" ht="15" customHeight="1">
      <c r="A22" s="70" t="s">
        <v>85</v>
      </c>
      <c r="B22" s="70"/>
      <c r="C22" s="72">
        <v>2000000</v>
      </c>
      <c r="D22" s="120"/>
    </row>
    <row r="23" spans="1:5" ht="15" customHeight="1">
      <c r="A23" s="70" t="s">
        <v>93</v>
      </c>
      <c r="B23" s="70"/>
      <c r="C23" s="72">
        <v>6725000</v>
      </c>
      <c r="D23" s="120"/>
    </row>
    <row r="24" spans="1:5">
      <c r="A24" s="73"/>
      <c r="B24" s="73"/>
      <c r="C24" s="101"/>
      <c r="D24" s="102"/>
    </row>
    <row r="25" spans="1:5" ht="15" customHeight="1">
      <c r="A25" s="69" t="s">
        <v>71</v>
      </c>
      <c r="B25" s="69" t="s">
        <v>100</v>
      </c>
      <c r="C25" s="69" t="s">
        <v>72</v>
      </c>
      <c r="D25" s="69" t="s">
        <v>73</v>
      </c>
    </row>
    <row r="26" spans="1:5" ht="15" customHeight="1">
      <c r="A26" s="74" t="s">
        <v>86</v>
      </c>
      <c r="B26" s="69" t="s">
        <v>101</v>
      </c>
      <c r="C26" s="82">
        <v>1860000</v>
      </c>
      <c r="D26" s="119">
        <v>6900000</v>
      </c>
    </row>
    <row r="27" spans="1:5" ht="15" customHeight="1">
      <c r="A27" s="75" t="s">
        <v>87</v>
      </c>
      <c r="B27" s="69" t="s">
        <v>102</v>
      </c>
      <c r="C27" s="82">
        <v>888000</v>
      </c>
      <c r="D27" s="119"/>
    </row>
    <row r="28" spans="1:5" ht="15" customHeight="1">
      <c r="A28" s="75"/>
      <c r="B28" s="75"/>
      <c r="C28" s="82"/>
      <c r="D28" s="119"/>
    </row>
    <row r="29" spans="1:5" ht="15" customHeight="1">
      <c r="A29" s="76" t="s">
        <v>74</v>
      </c>
      <c r="B29" s="69" t="s">
        <v>103</v>
      </c>
      <c r="C29" s="82">
        <f>C26+C27</f>
        <v>2748000</v>
      </c>
      <c r="D29" s="78" t="s">
        <v>99</v>
      </c>
      <c r="E29" s="51"/>
    </row>
    <row r="30" spans="1:5" ht="24.75" customHeight="1">
      <c r="A30" s="79"/>
      <c r="B30" s="55"/>
      <c r="D30" s="80"/>
      <c r="E30" s="51"/>
    </row>
    <row r="31" spans="1:5" ht="19.5" customHeight="1">
      <c r="A31" s="79"/>
      <c r="B31" s="55"/>
      <c r="D31" s="80"/>
      <c r="E31" s="51"/>
    </row>
    <row r="32" spans="1:5" ht="15" customHeight="1">
      <c r="A32" s="103" t="s">
        <v>76</v>
      </c>
      <c r="B32" s="103"/>
      <c r="C32" s="77"/>
      <c r="D32" s="69" t="s">
        <v>75</v>
      </c>
      <c r="E32" s="55"/>
    </row>
    <row r="33" spans="1:5" ht="15" customHeight="1">
      <c r="A33" s="70" t="s">
        <v>84</v>
      </c>
      <c r="B33" s="70"/>
      <c r="C33" s="71" t="s">
        <v>92</v>
      </c>
      <c r="D33" s="104">
        <f>D38-C41</f>
        <v>11564000</v>
      </c>
      <c r="E33" s="97"/>
    </row>
    <row r="34" spans="1:5" ht="15" customHeight="1">
      <c r="A34" s="70" t="s">
        <v>85</v>
      </c>
      <c r="B34" s="70"/>
      <c r="C34" s="72">
        <v>2000000</v>
      </c>
      <c r="D34" s="105"/>
      <c r="E34" s="97"/>
    </row>
    <row r="35" spans="1:5" ht="15" customHeight="1">
      <c r="A35" s="70" t="s">
        <v>93</v>
      </c>
      <c r="B35" s="70"/>
      <c r="C35" s="72">
        <v>18800000</v>
      </c>
      <c r="D35" s="106"/>
      <c r="E35" s="97"/>
    </row>
    <row r="36" spans="1:5">
      <c r="A36" s="98"/>
      <c r="B36" s="99"/>
      <c r="C36" s="99"/>
      <c r="D36" s="100"/>
      <c r="E36" s="81"/>
    </row>
    <row r="37" spans="1:5" ht="15" customHeight="1">
      <c r="A37" s="69" t="s">
        <v>71</v>
      </c>
      <c r="B37" s="69" t="s">
        <v>104</v>
      </c>
      <c r="C37" s="69" t="s">
        <v>72</v>
      </c>
      <c r="D37" s="69" t="s">
        <v>73</v>
      </c>
      <c r="E37" s="55"/>
    </row>
    <row r="38" spans="1:5" ht="15" customHeight="1">
      <c r="A38" s="74" t="s">
        <v>88</v>
      </c>
      <c r="B38" s="69" t="s">
        <v>107</v>
      </c>
      <c r="C38" s="72">
        <v>5088000</v>
      </c>
      <c r="D38" s="119">
        <v>19700000</v>
      </c>
      <c r="E38" s="118"/>
    </row>
    <row r="39" spans="1:5" ht="15" customHeight="1">
      <c r="A39" s="78" t="s">
        <v>89</v>
      </c>
      <c r="B39" s="69" t="s">
        <v>106</v>
      </c>
      <c r="C39" s="72">
        <v>3048000</v>
      </c>
      <c r="D39" s="119"/>
      <c r="E39" s="118"/>
    </row>
    <row r="40" spans="1:5" ht="15" customHeight="1">
      <c r="A40" s="75"/>
      <c r="B40" s="75"/>
      <c r="C40" s="72"/>
      <c r="D40" s="119"/>
      <c r="E40" s="118"/>
    </row>
    <row r="41" spans="1:5" ht="15" customHeight="1">
      <c r="A41" s="76" t="s">
        <v>74</v>
      </c>
      <c r="B41" s="69" t="s">
        <v>105</v>
      </c>
      <c r="C41" s="72">
        <f>C38+C39</f>
        <v>8136000</v>
      </c>
      <c r="D41" s="78" t="s">
        <v>99</v>
      </c>
      <c r="E41" s="118"/>
    </row>
    <row r="42" spans="1:5">
      <c r="A42" s="79"/>
      <c r="B42" s="55"/>
      <c r="D42" s="80"/>
      <c r="E42" s="55"/>
    </row>
    <row r="43" spans="1:5">
      <c r="A43" s="79"/>
      <c r="B43" s="55"/>
      <c r="D43" s="80"/>
      <c r="E43" s="55"/>
    </row>
    <row r="44" spans="1:5" ht="15" customHeight="1">
      <c r="A44" s="103" t="s">
        <v>77</v>
      </c>
      <c r="B44" s="103"/>
      <c r="C44" s="69"/>
      <c r="D44" s="69" t="s">
        <v>75</v>
      </c>
      <c r="E44" s="55"/>
    </row>
    <row r="45" spans="1:5" ht="15" customHeight="1">
      <c r="A45" s="70" t="s">
        <v>84</v>
      </c>
      <c r="B45" s="70"/>
      <c r="C45" s="71" t="s">
        <v>109</v>
      </c>
      <c r="D45" s="120">
        <f>D50-C53</f>
        <v>13040000</v>
      </c>
      <c r="E45" s="55"/>
    </row>
    <row r="46" spans="1:5" ht="15" customHeight="1">
      <c r="A46" s="70" t="s">
        <v>85</v>
      </c>
      <c r="B46" s="70"/>
      <c r="C46" s="72">
        <v>7000000</v>
      </c>
      <c r="D46" s="120"/>
      <c r="E46" s="55"/>
    </row>
    <row r="47" spans="1:5" ht="15" customHeight="1">
      <c r="A47" s="70" t="s">
        <v>93</v>
      </c>
      <c r="B47" s="70"/>
      <c r="C47" s="72">
        <v>15100000</v>
      </c>
      <c r="D47" s="120"/>
      <c r="E47" s="55"/>
    </row>
    <row r="48" spans="1:5">
      <c r="A48" s="124"/>
      <c r="B48" s="125"/>
      <c r="C48" s="125"/>
      <c r="D48" s="126"/>
      <c r="E48" s="55"/>
    </row>
    <row r="49" spans="1:5" ht="15" customHeight="1">
      <c r="A49" s="69" t="s">
        <v>71</v>
      </c>
      <c r="B49" s="69" t="s">
        <v>95</v>
      </c>
      <c r="C49" s="69" t="s">
        <v>72</v>
      </c>
      <c r="D49" s="69" t="s">
        <v>73</v>
      </c>
      <c r="E49" s="55"/>
    </row>
    <row r="50" spans="1:5" ht="15" customHeight="1">
      <c r="A50" s="74" t="s">
        <v>90</v>
      </c>
      <c r="B50" s="69" t="s">
        <v>96</v>
      </c>
      <c r="C50" s="72">
        <v>660000</v>
      </c>
      <c r="D50" s="119">
        <v>15500000</v>
      </c>
      <c r="E50" s="55"/>
    </row>
    <row r="51" spans="1:5" ht="15" customHeight="1">
      <c r="A51" s="78" t="s">
        <v>91</v>
      </c>
      <c r="B51" s="69" t="s">
        <v>97</v>
      </c>
      <c r="C51" s="72">
        <v>1800000</v>
      </c>
      <c r="D51" s="119"/>
      <c r="E51" s="55"/>
    </row>
    <row r="52" spans="1:5" ht="15" customHeight="1">
      <c r="A52" s="75"/>
      <c r="B52" s="75"/>
      <c r="C52" s="72"/>
      <c r="D52" s="119"/>
      <c r="E52" s="55"/>
    </row>
    <row r="53" spans="1:5" ht="15" customHeight="1">
      <c r="A53" s="76" t="s">
        <v>74</v>
      </c>
      <c r="B53" s="69" t="s">
        <v>98</v>
      </c>
      <c r="C53" s="72">
        <f>C50+C51</f>
        <v>2460000</v>
      </c>
      <c r="D53" s="78" t="s">
        <v>94</v>
      </c>
      <c r="E53" s="55"/>
    </row>
    <row r="54" spans="1:5" ht="12.75" thickBot="1">
      <c r="A54" s="79"/>
      <c r="B54" s="55"/>
      <c r="D54" s="80"/>
      <c r="E54" s="55"/>
    </row>
    <row r="55" spans="1:5" ht="12.75" customHeight="1" thickBot="1">
      <c r="A55" s="121" t="s">
        <v>66</v>
      </c>
      <c r="B55" s="122"/>
      <c r="C55" s="122"/>
      <c r="D55" s="122"/>
      <c r="E55" s="123"/>
    </row>
    <row r="56" spans="1:5" ht="12.75" thickBot="1">
      <c r="A56" s="51"/>
      <c r="B56" s="51"/>
      <c r="C56" s="51"/>
      <c r="D56" s="51"/>
      <c r="E56" s="51"/>
    </row>
    <row r="57" spans="1:5">
      <c r="A57" s="109" t="s">
        <v>67</v>
      </c>
      <c r="B57" s="110"/>
      <c r="C57" s="110"/>
      <c r="D57" s="110"/>
      <c r="E57" s="111"/>
    </row>
    <row r="58" spans="1:5">
      <c r="A58" s="112"/>
      <c r="B58" s="113"/>
      <c r="C58" s="113"/>
      <c r="D58" s="113"/>
      <c r="E58" s="114"/>
    </row>
    <row r="59" spans="1:5" ht="12.75" thickBot="1">
      <c r="A59" s="115"/>
      <c r="B59" s="116"/>
      <c r="C59" s="116"/>
      <c r="D59" s="116"/>
      <c r="E59" s="117"/>
    </row>
  </sheetData>
  <mergeCells count="19">
    <mergeCell ref="C5:D5"/>
    <mergeCell ref="A57:E59"/>
    <mergeCell ref="E38:E41"/>
    <mergeCell ref="D38:D40"/>
    <mergeCell ref="A44:B44"/>
    <mergeCell ref="D45:D47"/>
    <mergeCell ref="A55:E55"/>
    <mergeCell ref="D50:D52"/>
    <mergeCell ref="A48:D48"/>
    <mergeCell ref="C12:D12"/>
    <mergeCell ref="C13:D13"/>
    <mergeCell ref="D20:D23"/>
    <mergeCell ref="D26:D28"/>
    <mergeCell ref="E33:E35"/>
    <mergeCell ref="A36:D36"/>
    <mergeCell ref="C24:D24"/>
    <mergeCell ref="A19:B19"/>
    <mergeCell ref="D33:D35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MF</vt:lpstr>
      <vt:lpstr>Peter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 Mittal</cp:lastModifiedBy>
  <dcterms:created xsi:type="dcterms:W3CDTF">2023-05-16T06:57:00Z</dcterms:created>
  <dcterms:modified xsi:type="dcterms:W3CDTF">2026-01-17T11:05:51Z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CCFBF0F539A644A3B90F24460D11AF2E</vt:lpwstr>
  </property>
  <property fmtid="{D5CDD505-2E9C-101B-9397-08002B2CF9AE}" pid="3" name="KSOProductBuildVer">
    <vt:lpwstr>1033-11.2.0.11537</vt:lpwstr>
  </property>
</Properties>
</file>